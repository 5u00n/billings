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uren/Documents/Mine/"/>
    </mc:Choice>
  </mc:AlternateContent>
  <xr:revisionPtr revIDLastSave="0" documentId="13_ncr:1_{5A38F665-3BA3-E947-9705-CD2A29EFE070}" xr6:coauthVersionLast="36" xr6:coauthVersionMax="36" xr10:uidLastSave="{00000000-0000-0000-0000-000000000000}"/>
  <bookViews>
    <workbookView xWindow="0" yWindow="600" windowWidth="51200" windowHeight="26400" activeTab="3" xr2:uid="{00000000-000D-0000-FFFF-FFFF00000000}"/>
  </bookViews>
  <sheets>
    <sheet name="Income Tracker" sheetId="1" r:id="rId1"/>
    <sheet name="Returns" sheetId="6" r:id="rId2"/>
    <sheet name="Income" sheetId="7" r:id="rId3"/>
    <sheet name="Expense Log" sheetId="2" r:id="rId4"/>
    <sheet name="Borrow" sheetId="8" r:id="rId5"/>
    <sheet name="Goals Tracker" sheetId="4" r:id="rId6"/>
    <sheet name="March Summary" sheetId="3" r:id="rId7"/>
    <sheet name="travel sikkim" sheetId="5" r:id="rId8"/>
  </sheets>
  <calcPr calcId="181029"/>
</workbook>
</file>

<file path=xl/calcChain.xml><?xml version="1.0" encoding="utf-8"?>
<calcChain xmlns="http://schemas.openxmlformats.org/spreadsheetml/2006/main">
  <c r="O4" i="1" l="1"/>
  <c r="G4" i="1"/>
  <c r="D4" i="1" l="1"/>
  <c r="E4" i="1"/>
  <c r="F4" i="1"/>
  <c r="L4" i="1"/>
  <c r="M4" i="1" s="1"/>
  <c r="G3" i="1"/>
  <c r="K3" i="1"/>
  <c r="K4" i="1"/>
  <c r="H2" i="1"/>
  <c r="L2" i="1"/>
  <c r="M2" i="1"/>
  <c r="J26" i="5"/>
  <c r="N4" i="1"/>
  <c r="D13" i="2"/>
  <c r="B17" i="5"/>
  <c r="C16" i="5"/>
  <c r="D16" i="5"/>
  <c r="B16" i="5"/>
  <c r="L3" i="1"/>
  <c r="M3" i="1" s="1"/>
  <c r="P2" i="1" l="1"/>
  <c r="B14" i="5"/>
  <c r="H12" i="5"/>
  <c r="E12" i="5"/>
  <c r="B12" i="5"/>
  <c r="H9" i="5"/>
  <c r="O3" i="1" l="1"/>
  <c r="N3" i="1"/>
  <c r="F3" i="1" l="1"/>
  <c r="V1" i="1"/>
  <c r="H3" i="1"/>
  <c r="P3" i="1" s="1"/>
  <c r="B2" i="1"/>
  <c r="T2" i="1" s="1"/>
  <c r="C48" i="4" l="1"/>
  <c r="D8" i="3" l="1"/>
  <c r="B8" i="3"/>
  <c r="B48" i="4" l="1"/>
  <c r="E48" i="4" l="1"/>
  <c r="D48" i="4"/>
  <c r="B3" i="1" l="1"/>
  <c r="T3" i="1" l="1"/>
  <c r="B4" i="1" s="1"/>
  <c r="Q2" i="1"/>
  <c r="R2" i="1" l="1"/>
  <c r="S2" i="1"/>
  <c r="C3" i="1" s="1"/>
  <c r="R3" i="1"/>
  <c r="S3" i="1"/>
  <c r="C4" i="1" s="1"/>
  <c r="H4" i="1" s="1"/>
  <c r="P4" i="1" s="1"/>
  <c r="Q4" i="1" l="1"/>
  <c r="R4" i="1" s="1"/>
  <c r="T4" i="1"/>
  <c r="S4" i="1" l="1"/>
</calcChain>
</file>

<file path=xl/sharedStrings.xml><?xml version="1.0" encoding="utf-8"?>
<sst xmlns="http://schemas.openxmlformats.org/spreadsheetml/2006/main" count="179" uniqueCount="135">
  <si>
    <t>Month</t>
  </si>
  <si>
    <t>Date</t>
  </si>
  <si>
    <t>Category</t>
  </si>
  <si>
    <t>Description</t>
  </si>
  <si>
    <t>Amount</t>
  </si>
  <si>
    <t>Budget %</t>
  </si>
  <si>
    <t>Planned Amount</t>
  </si>
  <si>
    <t>Actual Spent</t>
  </si>
  <si>
    <t>Essentials</t>
  </si>
  <si>
    <t>Emergency Fund</t>
  </si>
  <si>
    <t>Parents Fund</t>
  </si>
  <si>
    <t>Business Growth</t>
  </si>
  <si>
    <t>Big Assets Fund</t>
  </si>
  <si>
    <t>Goal</t>
  </si>
  <si>
    <t>Target Amount</t>
  </si>
  <si>
    <t>Saved So Far</t>
  </si>
  <si>
    <t>Remaining</t>
  </si>
  <si>
    <t>Dad GPU</t>
  </si>
  <si>
    <t>Dad Camera</t>
  </si>
  <si>
    <t>Dad Drone</t>
  </si>
  <si>
    <t>Gold for Mom</t>
  </si>
  <si>
    <t>Touring Bike</t>
  </si>
  <si>
    <t>Land Purchase</t>
  </si>
  <si>
    <t>Own Car</t>
  </si>
  <si>
    <t>New House</t>
  </si>
  <si>
    <t>Farmland</t>
  </si>
  <si>
    <t>Total</t>
  </si>
  <si>
    <t>iPad Pro</t>
  </si>
  <si>
    <t>Aug</t>
  </si>
  <si>
    <t>Sep</t>
  </si>
  <si>
    <t>Oct</t>
  </si>
  <si>
    <t>Nov</t>
  </si>
  <si>
    <t>Dec</t>
  </si>
  <si>
    <t>Jan</t>
  </si>
  <si>
    <t>Small Assets</t>
  </si>
  <si>
    <t>savings %</t>
  </si>
  <si>
    <t>Salary</t>
  </si>
  <si>
    <t>Dept</t>
  </si>
  <si>
    <t>Freelance</t>
  </si>
  <si>
    <t>Returns</t>
  </si>
  <si>
    <t>Ext. Income</t>
  </si>
  <si>
    <t>Total  Income</t>
  </si>
  <si>
    <t>Reg. Savings</t>
  </si>
  <si>
    <t>Ext. Savings</t>
  </si>
  <si>
    <t>Total Savings</t>
  </si>
  <si>
    <t>Reg. Expence</t>
  </si>
  <si>
    <t>Ext. Expence</t>
  </si>
  <si>
    <t>Total Expence</t>
  </si>
  <si>
    <t>Overhead</t>
  </si>
  <si>
    <t>Ovh. Savings</t>
  </si>
  <si>
    <t>Dept. Payment</t>
  </si>
  <si>
    <t>Borrow</t>
  </si>
  <si>
    <t>Pre.Rem</t>
  </si>
  <si>
    <t>food for home</t>
  </si>
  <si>
    <t>fom guw to how</t>
  </si>
  <si>
    <t>from how to Sili</t>
  </si>
  <si>
    <t>gadget</t>
  </si>
  <si>
    <t>holder</t>
  </si>
  <si>
    <t>utensil</t>
  </si>
  <si>
    <t>ext</t>
  </si>
  <si>
    <t>reg</t>
  </si>
  <si>
    <t>Petrol</t>
  </si>
  <si>
    <t>Sent money Nong</t>
  </si>
  <si>
    <t>Drinks</t>
  </si>
  <si>
    <t>Item</t>
  </si>
  <si>
    <t>Cost</t>
  </si>
  <si>
    <t>Hotel</t>
  </si>
  <si>
    <t>Train</t>
  </si>
  <si>
    <t>Blinkit</t>
  </si>
  <si>
    <t xml:space="preserve">sitting </t>
  </si>
  <si>
    <t>sumo to GUY</t>
  </si>
  <si>
    <t>I. Food</t>
  </si>
  <si>
    <t>Medical</t>
  </si>
  <si>
    <t>Juice</t>
  </si>
  <si>
    <t>toilet</t>
  </si>
  <si>
    <t>laughing</t>
  </si>
  <si>
    <t>Siki Toilet</t>
  </si>
  <si>
    <t>travel</t>
  </si>
  <si>
    <t>tibel food</t>
  </si>
  <si>
    <t>ice cream</t>
  </si>
  <si>
    <t>cheese cake</t>
  </si>
  <si>
    <t>bimbimbap</t>
  </si>
  <si>
    <t>food in trav</t>
  </si>
  <si>
    <t>drinks</t>
  </si>
  <si>
    <t>item</t>
  </si>
  <si>
    <t>cost</t>
  </si>
  <si>
    <t xml:space="preserve">item </t>
  </si>
  <si>
    <t>recharge</t>
  </si>
  <si>
    <t>blinkit</t>
  </si>
  <si>
    <t>hotel</t>
  </si>
  <si>
    <t>momo</t>
  </si>
  <si>
    <t>food travel</t>
  </si>
  <si>
    <t>my food</t>
  </si>
  <si>
    <t>total</t>
  </si>
  <si>
    <t>car to hotel</t>
  </si>
  <si>
    <t>slice pay</t>
  </si>
  <si>
    <t>togather</t>
  </si>
  <si>
    <t>hotel in sikkim</t>
  </si>
  <si>
    <t>food in sikkim</t>
  </si>
  <si>
    <t>food</t>
  </si>
  <si>
    <t>travel sikkim</t>
  </si>
  <si>
    <t>travel to megh</t>
  </si>
  <si>
    <t>food in megh</t>
  </si>
  <si>
    <t xml:space="preserve">travel back </t>
  </si>
  <si>
    <t>extra speds</t>
  </si>
  <si>
    <t>hote huwahati</t>
  </si>
  <si>
    <t>birthda iban</t>
  </si>
  <si>
    <t>bithday</t>
  </si>
  <si>
    <t>electronics</t>
  </si>
  <si>
    <t>date</t>
  </si>
  <si>
    <t>person</t>
  </si>
  <si>
    <t>amount</t>
  </si>
  <si>
    <t>soso</t>
  </si>
  <si>
    <t>iban main</t>
  </si>
  <si>
    <t>iban mian</t>
  </si>
  <si>
    <t>category</t>
  </si>
  <si>
    <t>rt</t>
  </si>
  <si>
    <t>from</t>
  </si>
  <si>
    <t>fl</t>
  </si>
  <si>
    <t>meker</t>
  </si>
  <si>
    <t>Dad</t>
  </si>
  <si>
    <t>Savings</t>
  </si>
  <si>
    <t>reason</t>
  </si>
  <si>
    <t>br</t>
  </si>
  <si>
    <t>iban help</t>
  </si>
  <si>
    <t>iban gift</t>
  </si>
  <si>
    <t>iban cosmetics</t>
  </si>
  <si>
    <t>electronics blinkit</t>
  </si>
  <si>
    <t>hotel guwahati</t>
  </si>
  <si>
    <t>Farmland in Meghalaya</t>
  </si>
  <si>
    <t>for ibans funds</t>
  </si>
  <si>
    <t>fl=free lancing</t>
  </si>
  <si>
    <t>ext=extra</t>
  </si>
  <si>
    <t>saving = withdraw savings</t>
  </si>
  <si>
    <t>ibans extra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</si>
</sst>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0"/>
      <name val="Calibri"/>
      <family val="2"/>
      <scheme val="minor"/>
    </font>
    <font>
      <sz val="11"/>
      <color theme="0"/>
      <name val="Calibri (Body)_x0000_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44">
    <xf numFmtId="0" fontId="0" fillId="0" borderId="0" xfId="0"/>
    <xf numFmtId="0" fontId="1" fillId="0" borderId="0" xfId="0" applyFont="1"/>
    <xf numFmtId="0" fontId="3" fillId="3" borderId="0" xfId="2" applyAlignment="1"/>
    <xf numFmtId="164" fontId="0" fillId="0" borderId="0" xfId="0" applyNumberFormat="1" applyFont="1"/>
    <xf numFmtId="164" fontId="0" fillId="0" borderId="0" xfId="0" applyNumberFormat="1"/>
    <xf numFmtId="164" fontId="2" fillId="2" borderId="0" xfId="1" applyNumberFormat="1"/>
    <xf numFmtId="164" fontId="3" fillId="3" borderId="0" xfId="2" applyNumberFormat="1" applyAlignment="1"/>
    <xf numFmtId="164" fontId="3" fillId="3" borderId="0" xfId="2" applyNumberFormat="1"/>
    <xf numFmtId="0" fontId="4" fillId="4" borderId="1" xfId="3"/>
    <xf numFmtId="0" fontId="5" fillId="5" borderId="0" xfId="0" applyFont="1" applyFill="1"/>
    <xf numFmtId="0" fontId="3" fillId="3" borderId="0" xfId="2"/>
    <xf numFmtId="0" fontId="0" fillId="6" borderId="0" xfId="0" applyFill="1"/>
    <xf numFmtId="0" fontId="6" fillId="7" borderId="0" xfId="0" applyFont="1" applyFill="1"/>
    <xf numFmtId="0" fontId="0" fillId="0" borderId="0" xfId="0" applyNumberFormat="1" applyFont="1"/>
    <xf numFmtId="0" fontId="0" fillId="0" borderId="0" xfId="0" applyNumberFormat="1"/>
    <xf numFmtId="0" fontId="3" fillId="3" borderId="0" xfId="2" applyNumberFormat="1" applyAlignment="1"/>
    <xf numFmtId="0" fontId="0" fillId="0" borderId="0" xfId="0" applyFont="1" applyFill="1"/>
    <xf numFmtId="0" fontId="4" fillId="9" borderId="1" xfId="3" applyFill="1"/>
    <xf numFmtId="0" fontId="5" fillId="5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7" fillId="10" borderId="1" xfId="3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4" fillId="4" borderId="1" xfId="3" applyNumberFormat="1"/>
    <xf numFmtId="0" fontId="7" fillId="11" borderId="1" xfId="3" applyFont="1" applyFill="1" applyAlignment="1">
      <alignment horizontal="center"/>
    </xf>
    <xf numFmtId="164" fontId="4" fillId="12" borderId="1" xfId="3" applyNumberFormat="1" applyFill="1"/>
    <xf numFmtId="0" fontId="4" fillId="12" borderId="1" xfId="3" applyFill="1"/>
    <xf numFmtId="0" fontId="7" fillId="13" borderId="1" xfId="3" applyFont="1" applyFill="1" applyAlignment="1">
      <alignment horizontal="center"/>
    </xf>
    <xf numFmtId="164" fontId="4" fillId="14" borderId="1" xfId="3" applyNumberFormat="1" applyFill="1"/>
    <xf numFmtId="0" fontId="4" fillId="14" borderId="1" xfId="3" applyFill="1"/>
    <xf numFmtId="0" fontId="4" fillId="15" borderId="1" xfId="3" applyFill="1"/>
    <xf numFmtId="164" fontId="4" fillId="15" borderId="1" xfId="3" applyNumberFormat="1" applyFill="1"/>
    <xf numFmtId="0" fontId="7" fillId="16" borderId="1" xfId="3" applyFont="1" applyFill="1" applyAlignment="1">
      <alignment horizontal="center"/>
    </xf>
    <xf numFmtId="0" fontId="7" fillId="17" borderId="1" xfId="3" applyFont="1" applyFill="1" applyAlignment="1">
      <alignment horizontal="center"/>
    </xf>
    <xf numFmtId="0" fontId="7" fillId="17" borderId="1" xfId="3" applyFont="1" applyFill="1"/>
    <xf numFmtId="164" fontId="4" fillId="18" borderId="1" xfId="3" applyNumberFormat="1" applyFill="1"/>
    <xf numFmtId="0" fontId="4" fillId="18" borderId="1" xfId="3" applyFill="1"/>
    <xf numFmtId="0" fontId="7" fillId="19" borderId="1" xfId="3" applyFont="1" applyFill="1" applyAlignment="1">
      <alignment horizontal="center"/>
    </xf>
    <xf numFmtId="0" fontId="9" fillId="0" borderId="0" xfId="0" applyFont="1"/>
    <xf numFmtId="0" fontId="0" fillId="0" borderId="0" xfId="0" applyFont="1"/>
    <xf numFmtId="14" fontId="9" fillId="0" borderId="0" xfId="0" applyNumberFormat="1" applyFont="1"/>
    <xf numFmtId="14" fontId="0" fillId="0" borderId="0" xfId="0" applyNumberFormat="1"/>
    <xf numFmtId="164" fontId="4" fillId="9" borderId="1" xfId="3" applyNumberFormat="1" applyFill="1"/>
    <xf numFmtId="0" fontId="10" fillId="0" borderId="0" xfId="0" applyFont="1"/>
    <xf numFmtId="0" fontId="2" fillId="2" borderId="0" xfId="1"/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9" defaultPivotStyle="PivotStyleLight16"/>
  <colors>
    <mruColors>
      <color rgb="FFFF7C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zoomScale="155" zoomScaleNormal="192" workbookViewId="0">
      <selection activeCell="O5" sqref="O5"/>
    </sheetView>
  </sheetViews>
  <sheetFormatPr baseColWidth="10" defaultColWidth="8.83203125" defaultRowHeight="16"/>
  <cols>
    <col min="1" max="1" width="16.33203125" customWidth="1"/>
    <col min="2" max="2" width="10" customWidth="1"/>
    <col min="3" max="3" width="9.5" style="25" customWidth="1"/>
    <col min="4" max="4" width="9" style="25" customWidth="1"/>
    <col min="5" max="5" width="13" style="25" customWidth="1"/>
    <col min="6" max="6" width="13.1640625" style="25" customWidth="1"/>
    <col min="7" max="7" width="11.33203125" style="25" customWidth="1"/>
    <col min="8" max="8" width="12" style="29" customWidth="1"/>
    <col min="9" max="9" width="11.83203125" style="35" customWidth="1"/>
    <col min="10" max="10" width="12.1640625" style="35" customWidth="1"/>
    <col min="11" max="11" width="12.1640625" customWidth="1"/>
    <col min="12" max="12" width="11.5" customWidth="1"/>
    <col min="13" max="13" width="12.6640625" style="8" customWidth="1"/>
    <col min="14" max="15" width="12.1640625" customWidth="1"/>
    <col min="16" max="16" width="10.6640625" style="17" customWidth="1"/>
    <col min="17" max="17" width="14.1640625" customWidth="1"/>
    <col min="18" max="18" width="14.5" customWidth="1"/>
    <col min="19" max="19" width="11.83203125" style="17" customWidth="1"/>
    <col min="20" max="20" width="12.6640625" style="28" customWidth="1"/>
    <col min="21" max="22" width="8.83203125" customWidth="1"/>
  </cols>
  <sheetData>
    <row r="1" spans="1:22">
      <c r="A1" s="9" t="s">
        <v>0</v>
      </c>
      <c r="B1" s="18" t="s">
        <v>37</v>
      </c>
      <c r="C1" s="32" t="s">
        <v>52</v>
      </c>
      <c r="D1" s="32" t="s">
        <v>36</v>
      </c>
      <c r="E1" s="32" t="s">
        <v>38</v>
      </c>
      <c r="F1" s="32" t="s">
        <v>39</v>
      </c>
      <c r="G1" s="33" t="s">
        <v>40</v>
      </c>
      <c r="H1" s="31" t="s">
        <v>41</v>
      </c>
      <c r="I1" s="36" t="s">
        <v>42</v>
      </c>
      <c r="J1" s="36" t="s">
        <v>43</v>
      </c>
      <c r="K1" s="18" t="s">
        <v>45</v>
      </c>
      <c r="L1" s="18" t="s">
        <v>46</v>
      </c>
      <c r="M1" s="23" t="s">
        <v>47</v>
      </c>
      <c r="N1" s="18" t="s">
        <v>50</v>
      </c>
      <c r="O1" s="19" t="s">
        <v>51</v>
      </c>
      <c r="P1" s="20" t="s">
        <v>48</v>
      </c>
      <c r="Q1" s="18" t="s">
        <v>49</v>
      </c>
      <c r="R1" s="21" t="s">
        <v>44</v>
      </c>
      <c r="S1" s="20" t="s">
        <v>16</v>
      </c>
      <c r="T1" s="26" t="s">
        <v>37</v>
      </c>
      <c r="U1" s="16">
        <v>0</v>
      </c>
      <c r="V1">
        <f>37743 +15973 +8436</f>
        <v>62152</v>
      </c>
    </row>
    <row r="2" spans="1:22">
      <c r="A2" s="8" t="s">
        <v>28</v>
      </c>
      <c r="B2" s="4">
        <f>V1</f>
        <v>62152</v>
      </c>
      <c r="C2" s="24">
        <v>14000</v>
      </c>
      <c r="D2" s="24">
        <v>0</v>
      </c>
      <c r="E2" s="24">
        <v>0</v>
      </c>
      <c r="F2" s="24">
        <v>3000</v>
      </c>
      <c r="G2" s="25">
        <v>0</v>
      </c>
      <c r="H2" s="30">
        <f>SUM(C2:G2)</f>
        <v>17000</v>
      </c>
      <c r="I2" s="34">
        <v>0</v>
      </c>
      <c r="J2" s="34">
        <v>0</v>
      </c>
      <c r="K2" s="4">
        <v>20000</v>
      </c>
      <c r="L2" s="4">
        <f>25000+27000+6000+14000</f>
        <v>72000</v>
      </c>
      <c r="M2" s="22">
        <f>SUM(K2:L2)</f>
        <v>92000</v>
      </c>
      <c r="N2" s="4">
        <v>14000</v>
      </c>
      <c r="O2" s="4"/>
      <c r="P2" s="17">
        <f>IF(H2-SUM(I2:J2)-M2&gt;0,H2-SUM(I2:J2)-M2,0)</f>
        <v>0</v>
      </c>
      <c r="Q2" s="4">
        <f>IF(P2&gt;0,P2/2,0)</f>
        <v>0</v>
      </c>
      <c r="R2" s="4">
        <f>SUM(I2:J2)+Q2</f>
        <v>0</v>
      </c>
      <c r="S2" s="41">
        <f>P2-Q2</f>
        <v>0</v>
      </c>
      <c r="T2" s="27">
        <f>(B2-N2)+O2+IF(M2&gt;H2,M2-H2,0)</f>
        <v>123152</v>
      </c>
    </row>
    <row r="3" spans="1:22">
      <c r="A3" s="8" t="s">
        <v>29</v>
      </c>
      <c r="B3" s="4">
        <f>T2</f>
        <v>123152</v>
      </c>
      <c r="C3" s="24">
        <f>S2</f>
        <v>0</v>
      </c>
      <c r="D3" s="24">
        <v>0</v>
      </c>
      <c r="E3" s="24">
        <v>0</v>
      </c>
      <c r="F3" s="24">
        <f>3000+1000+2000+1000</f>
        <v>7000</v>
      </c>
      <c r="G3" s="25">
        <f>6000+2000+500+1500+1000+19000</f>
        <v>30000</v>
      </c>
      <c r="H3" s="30">
        <f>SUM(D3:G3)</f>
        <v>37000</v>
      </c>
      <c r="I3" s="34">
        <v>3000</v>
      </c>
      <c r="J3" s="34">
        <v>0</v>
      </c>
      <c r="K3" s="4">
        <f>5000+4000</f>
        <v>9000</v>
      </c>
      <c r="L3" s="4">
        <f>SUMIFS('Expense Log'!D:D, 'Expense Log'!B:B, "ext", 'Expense Log'!A:A, "&gt;=2026-09-01", 'Expense Log'!A:A, "&lt;=2026-09-30")</f>
        <v>21065</v>
      </c>
      <c r="M3" s="22">
        <f>SUM(K3:L3)</f>
        <v>30065</v>
      </c>
      <c r="N3" s="4">
        <f>15000+5000+4000</f>
        <v>24000</v>
      </c>
      <c r="O3" s="4">
        <f>15000+2000+5000</f>
        <v>22000</v>
      </c>
      <c r="P3" s="17">
        <f>IF(M3+N3&lt;H3+O3,(H3+O3)-(M3+N3),0)</f>
        <v>4935</v>
      </c>
      <c r="Q3" s="4"/>
      <c r="R3" s="4">
        <f>SUM(I3:J3)+Q3</f>
        <v>3000</v>
      </c>
      <c r="S3" s="17">
        <f>P3-Q3</f>
        <v>4935</v>
      </c>
      <c r="T3" s="27">
        <f>(B3-N3)+O3+IF(M3&gt;H3,M3-H3,0)</f>
        <v>121152</v>
      </c>
    </row>
    <row r="4" spans="1:22">
      <c r="A4" s="8" t="s">
        <v>30</v>
      </c>
      <c r="B4" s="4">
        <f>T3</f>
        <v>121152</v>
      </c>
      <c r="C4" s="24">
        <f>S3</f>
        <v>4935</v>
      </c>
      <c r="D4" s="24">
        <f>SUMIFS(Income!D:D,Income!B:B,"sal",Income!A:A,"&gt;=2026-10-01",Income!A:A,"&lt;=2026-10-30")</f>
        <v>0</v>
      </c>
      <c r="E4" s="24">
        <f>SUMIFS(Income!D:D,Income!B:B,"fl",Income!A:A,"&gt;=2026-10-01",Income!A:A,"&lt;=2026-10-30")</f>
        <v>7000</v>
      </c>
      <c r="F4" s="24">
        <f>SUMIFS(Returns!D:D,Returns!B:B,"rt",Returns!A:A,"&gt;=2026-10-01",Returns!A:A,"&lt;=2026-10-30")</f>
        <v>23000</v>
      </c>
      <c r="G4" s="25">
        <f>SUMIFS(Income!D:D,Income!B:B,"ext",Income!A:A,"&gt;=2026-10-01",Income!A:A,"&lt;=2026-10-30")</f>
        <v>14000</v>
      </c>
      <c r="H4" s="30">
        <f>SUM(C4:G4)</f>
        <v>48935</v>
      </c>
      <c r="I4" s="34">
        <v>0</v>
      </c>
      <c r="J4" s="34">
        <v>0</v>
      </c>
      <c r="K4" s="4">
        <f>1200+1300</f>
        <v>2500</v>
      </c>
      <c r="L4" s="4">
        <f>SUMIFS('Expense Log'!D:D, 'Expense Log'!B:B, "ext", 'Expense Log'!A:A, "&gt;=2026-10-01", 'Expense Log'!A:A, "&lt;=2026-10-30")</f>
        <v>11541</v>
      </c>
      <c r="M4" s="22">
        <f>SUM(K4:L4)</f>
        <v>14041</v>
      </c>
      <c r="N4" s="4">
        <f>7718+11828+32512</f>
        <v>52058</v>
      </c>
      <c r="O4" s="4">
        <f>SUMIFS(Borrow!D:D,Borrow!B:B,"br",Borrow!A:A,"&gt;=2026-10-01",Borrow!A:A,"&lt;=2026-10-30")</f>
        <v>15541</v>
      </c>
      <c r="P4" s="17">
        <f>IF(M4+N4&lt;H4+O4,(H4+O4)-(M4+N4),0)</f>
        <v>0</v>
      </c>
      <c r="Q4" s="4">
        <f>IF(P4&gt;0,P4/2,0)</f>
        <v>0</v>
      </c>
      <c r="R4" s="4">
        <f>SUM(I4:J4)+Q4</f>
        <v>0</v>
      </c>
      <c r="S4" s="17">
        <f>P4-Q4</f>
        <v>0</v>
      </c>
      <c r="T4" s="27">
        <f>(B4-N4)+O4+IF(M4&gt;H4,M4-H4,0)</f>
        <v>84635</v>
      </c>
    </row>
    <row r="5" spans="1:22">
      <c r="A5" s="8" t="s">
        <v>31</v>
      </c>
      <c r="B5" s="4"/>
      <c r="C5" s="24"/>
      <c r="D5" s="24"/>
      <c r="E5" s="24"/>
      <c r="F5" s="24"/>
      <c r="H5" s="30"/>
      <c r="I5" s="34"/>
      <c r="J5" s="34"/>
      <c r="K5" s="4"/>
      <c r="L5" s="4"/>
      <c r="N5" s="4"/>
      <c r="O5" s="4"/>
      <c r="Q5" s="4"/>
    </row>
    <row r="6" spans="1:22">
      <c r="A6" s="8" t="s">
        <v>32</v>
      </c>
      <c r="B6" s="4"/>
      <c r="C6" s="24"/>
      <c r="D6" s="24"/>
      <c r="E6" s="24"/>
      <c r="F6" s="24"/>
      <c r="H6" s="30"/>
      <c r="I6" s="34"/>
      <c r="J6" s="34"/>
      <c r="K6" s="4"/>
      <c r="L6" s="4"/>
      <c r="M6" s="22"/>
      <c r="N6" s="4"/>
      <c r="O6" s="4"/>
      <c r="Q6" s="4"/>
    </row>
    <row r="7" spans="1:22">
      <c r="A7" s="8" t="s">
        <v>33</v>
      </c>
      <c r="B7" s="4"/>
      <c r="C7" s="24"/>
      <c r="D7" s="24"/>
      <c r="E7" s="24"/>
      <c r="F7" s="24"/>
      <c r="H7" s="30"/>
      <c r="I7" s="34"/>
      <c r="J7" s="34"/>
      <c r="K7" s="4"/>
      <c r="L7" s="4"/>
      <c r="M7" s="22"/>
      <c r="N7" s="4"/>
      <c r="O7" s="4"/>
      <c r="Q7" s="4"/>
    </row>
    <row r="8" spans="1:22">
      <c r="N8" s="4"/>
      <c r="O8" s="4"/>
      <c r="Q8" s="4"/>
    </row>
    <row r="9" spans="1:22">
      <c r="N9" s="4"/>
    </row>
    <row r="13" spans="1:22">
      <c r="O13" s="4"/>
    </row>
    <row r="14" spans="1:22">
      <c r="O14" s="4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F850-0849-4649-A936-406E4E1C9128}">
  <dimension ref="A1:D5"/>
  <sheetViews>
    <sheetView zoomScale="150" workbookViewId="0">
      <selection activeCell="G13" sqref="G13"/>
    </sheetView>
  </sheetViews>
  <sheetFormatPr baseColWidth="10" defaultRowHeight="15"/>
  <cols>
    <col min="1" max="1" width="10.5" customWidth="1"/>
    <col min="2" max="2" width="8.1640625" customWidth="1"/>
    <col min="3" max="3" width="11.1640625" customWidth="1"/>
    <col min="4" max="4" width="9" customWidth="1"/>
    <col min="5" max="5" width="19.1640625" customWidth="1"/>
  </cols>
  <sheetData>
    <row r="1" spans="1:4">
      <c r="A1" t="s">
        <v>109</v>
      </c>
      <c r="B1" t="s">
        <v>115</v>
      </c>
      <c r="C1" t="s">
        <v>110</v>
      </c>
      <c r="D1" t="s">
        <v>111</v>
      </c>
    </row>
    <row r="2" spans="1:4">
      <c r="A2" s="40">
        <v>46296</v>
      </c>
      <c r="B2" s="40" t="s">
        <v>116</v>
      </c>
      <c r="C2" t="s">
        <v>112</v>
      </c>
      <c r="D2">
        <v>10000</v>
      </c>
    </row>
    <row r="3" spans="1:4">
      <c r="A3" s="40">
        <v>46297</v>
      </c>
      <c r="B3" s="40" t="s">
        <v>116</v>
      </c>
      <c r="C3" t="s">
        <v>114</v>
      </c>
      <c r="D3">
        <v>3000</v>
      </c>
    </row>
    <row r="4" spans="1:4">
      <c r="A4" s="40">
        <v>46298</v>
      </c>
      <c r="B4" s="40" t="s">
        <v>116</v>
      </c>
      <c r="C4" t="s">
        <v>113</v>
      </c>
      <c r="D4">
        <v>10000</v>
      </c>
    </row>
    <row r="5" spans="1:4">
      <c r="A5" s="40"/>
      <c r="B5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BD3B-8D48-C341-8DAA-2B566F2DB084}">
  <dimension ref="A1:G6"/>
  <sheetViews>
    <sheetView zoomScale="182" workbookViewId="0">
      <selection activeCell="I7" sqref="I7"/>
    </sheetView>
  </sheetViews>
  <sheetFormatPr baseColWidth="10" defaultRowHeight="15"/>
  <cols>
    <col min="7" max="7" width="21.83203125" customWidth="1"/>
    <col min="8" max="8" width="10.5" customWidth="1"/>
    <col min="9" max="9" width="19.83203125" customWidth="1"/>
  </cols>
  <sheetData>
    <row r="1" spans="1:7">
      <c r="A1" t="s">
        <v>109</v>
      </c>
      <c r="B1" t="s">
        <v>115</v>
      </c>
      <c r="C1" t="s">
        <v>117</v>
      </c>
      <c r="D1" t="s">
        <v>111</v>
      </c>
    </row>
    <row r="2" spans="1:7" ht="16">
      <c r="A2" s="40">
        <v>46297</v>
      </c>
      <c r="B2" t="s">
        <v>118</v>
      </c>
      <c r="C2" t="s">
        <v>119</v>
      </c>
      <c r="D2">
        <v>7000</v>
      </c>
      <c r="G2" s="43" t="s">
        <v>131</v>
      </c>
    </row>
    <row r="3" spans="1:7" ht="16">
      <c r="A3" s="40">
        <v>46298</v>
      </c>
      <c r="B3" t="s">
        <v>59</v>
      </c>
      <c r="C3" t="s">
        <v>120</v>
      </c>
      <c r="D3">
        <v>5000</v>
      </c>
      <c r="G3" s="43" t="s">
        <v>132</v>
      </c>
    </row>
    <row r="4" spans="1:7" ht="16">
      <c r="A4" s="40">
        <v>46299</v>
      </c>
      <c r="B4" t="s">
        <v>59</v>
      </c>
      <c r="C4" t="s">
        <v>120</v>
      </c>
      <c r="D4">
        <v>5000</v>
      </c>
      <c r="G4" s="43" t="s">
        <v>133</v>
      </c>
    </row>
    <row r="5" spans="1:7">
      <c r="A5" s="40">
        <v>46300</v>
      </c>
      <c r="B5" t="s">
        <v>59</v>
      </c>
      <c r="C5" t="s">
        <v>120</v>
      </c>
      <c r="D5">
        <v>1000</v>
      </c>
    </row>
    <row r="6" spans="1:7">
      <c r="A6" s="40">
        <v>46301</v>
      </c>
      <c r="B6" t="s">
        <v>59</v>
      </c>
      <c r="C6" t="s">
        <v>121</v>
      </c>
      <c r="D6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zoomScale="150" zoomScaleNormal="113" workbookViewId="0">
      <selection activeCell="D23" sqref="D23"/>
    </sheetView>
  </sheetViews>
  <sheetFormatPr baseColWidth="10" defaultColWidth="8.83203125" defaultRowHeight="15"/>
  <cols>
    <col min="1" max="1" width="11.6640625" customWidth="1"/>
    <col min="2" max="2" width="10.6640625" customWidth="1"/>
    <col min="3" max="3" width="13.5" customWidth="1"/>
    <col min="4" max="4" width="11.6640625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39">
        <v>46266</v>
      </c>
      <c r="B2" s="37" t="s">
        <v>59</v>
      </c>
      <c r="C2" s="37" t="s">
        <v>58</v>
      </c>
      <c r="D2" s="37">
        <v>2004</v>
      </c>
    </row>
    <row r="3" spans="1:4">
      <c r="A3" s="39">
        <v>46267</v>
      </c>
      <c r="B3" s="37" t="s">
        <v>59</v>
      </c>
      <c r="C3" s="37" t="s">
        <v>56</v>
      </c>
      <c r="D3" s="37">
        <v>2003</v>
      </c>
    </row>
    <row r="4" spans="1:4">
      <c r="A4" s="39">
        <v>46268</v>
      </c>
      <c r="B4" s="37" t="s">
        <v>59</v>
      </c>
      <c r="C4" s="37" t="s">
        <v>57</v>
      </c>
      <c r="D4" s="37">
        <v>554</v>
      </c>
    </row>
    <row r="5" spans="1:4">
      <c r="A5" s="40">
        <v>46274</v>
      </c>
      <c r="B5" t="s">
        <v>59</v>
      </c>
      <c r="C5" s="38" t="s">
        <v>53</v>
      </c>
      <c r="D5">
        <v>200</v>
      </c>
    </row>
    <row r="6" spans="1:4">
      <c r="A6" s="40">
        <v>46274</v>
      </c>
      <c r="B6" t="s">
        <v>60</v>
      </c>
      <c r="C6" s="37" t="s">
        <v>61</v>
      </c>
      <c r="D6">
        <v>200</v>
      </c>
    </row>
    <row r="7" spans="1:4">
      <c r="A7" s="40">
        <v>46274</v>
      </c>
      <c r="B7" s="37" t="s">
        <v>59</v>
      </c>
      <c r="C7" s="37" t="s">
        <v>63</v>
      </c>
      <c r="D7">
        <v>165</v>
      </c>
    </row>
    <row r="8" spans="1:4">
      <c r="A8" s="40">
        <v>46274</v>
      </c>
      <c r="B8" s="37" t="s">
        <v>59</v>
      </c>
      <c r="C8" s="37" t="s">
        <v>62</v>
      </c>
      <c r="D8">
        <v>100</v>
      </c>
    </row>
    <row r="9" spans="1:4">
      <c r="A9" s="40">
        <v>46274</v>
      </c>
      <c r="B9" s="37" t="s">
        <v>59</v>
      </c>
      <c r="C9" s="38" t="s">
        <v>54</v>
      </c>
      <c r="D9">
        <v>1400</v>
      </c>
    </row>
    <row r="10" spans="1:4">
      <c r="A10" s="40">
        <v>46274</v>
      </c>
      <c r="B10" s="37" t="s">
        <v>59</v>
      </c>
      <c r="C10" s="38" t="s">
        <v>55</v>
      </c>
      <c r="D10">
        <v>1515</v>
      </c>
    </row>
    <row r="11" spans="1:4">
      <c r="A11" s="40">
        <v>46284</v>
      </c>
      <c r="B11" s="37" t="s">
        <v>59</v>
      </c>
      <c r="C11" s="37" t="s">
        <v>97</v>
      </c>
      <c r="D11">
        <v>2600</v>
      </c>
    </row>
    <row r="12" spans="1:4">
      <c r="A12" s="40">
        <v>46285</v>
      </c>
      <c r="B12" s="37" t="s">
        <v>59</v>
      </c>
      <c r="C12" s="37" t="s">
        <v>98</v>
      </c>
      <c r="D12">
        <v>3424</v>
      </c>
    </row>
    <row r="13" spans="1:4">
      <c r="A13" s="40">
        <v>46285</v>
      </c>
      <c r="B13" s="37" t="s">
        <v>59</v>
      </c>
      <c r="C13" s="37" t="s">
        <v>100</v>
      </c>
      <c r="D13">
        <f>1400+1400</f>
        <v>2800</v>
      </c>
    </row>
    <row r="14" spans="1:4">
      <c r="A14" s="40">
        <v>46286</v>
      </c>
      <c r="B14" s="37" t="s">
        <v>59</v>
      </c>
      <c r="C14" s="37" t="s">
        <v>101</v>
      </c>
      <c r="D14">
        <v>1000</v>
      </c>
    </row>
    <row r="15" spans="1:4">
      <c r="A15" s="40">
        <v>46287</v>
      </c>
      <c r="B15" s="37" t="s">
        <v>59</v>
      </c>
      <c r="C15" s="37" t="s">
        <v>102</v>
      </c>
      <c r="D15">
        <v>1000</v>
      </c>
    </row>
    <row r="16" spans="1:4">
      <c r="A16" s="40">
        <v>46287</v>
      </c>
      <c r="B16" s="37" t="s">
        <v>59</v>
      </c>
      <c r="C16" s="37" t="s">
        <v>103</v>
      </c>
      <c r="D16">
        <v>1700</v>
      </c>
    </row>
    <row r="17" spans="1:4">
      <c r="A17" s="40">
        <v>46288</v>
      </c>
      <c r="B17" s="37" t="s">
        <v>59</v>
      </c>
      <c r="C17" s="37" t="s">
        <v>104</v>
      </c>
      <c r="D17">
        <v>600</v>
      </c>
    </row>
    <row r="18" spans="1:4">
      <c r="A18" s="40">
        <v>46296</v>
      </c>
      <c r="B18" s="37" t="s">
        <v>59</v>
      </c>
      <c r="C18" s="37" t="s">
        <v>105</v>
      </c>
      <c r="D18">
        <v>2000</v>
      </c>
    </row>
    <row r="19" spans="1:4">
      <c r="A19" s="40">
        <v>46297</v>
      </c>
      <c r="B19" s="37" t="s">
        <v>59</v>
      </c>
      <c r="C19" s="37" t="s">
        <v>106</v>
      </c>
      <c r="D19">
        <v>3299</v>
      </c>
    </row>
    <row r="20" spans="1:4">
      <c r="A20" s="40">
        <v>46298</v>
      </c>
      <c r="B20" s="37" t="s">
        <v>59</v>
      </c>
      <c r="C20" s="37" t="s">
        <v>107</v>
      </c>
      <c r="D20">
        <v>1484</v>
      </c>
    </row>
    <row r="21" spans="1:4">
      <c r="A21" s="40">
        <v>46299</v>
      </c>
      <c r="B21" s="37" t="s">
        <v>59</v>
      </c>
      <c r="C21" s="37" t="s">
        <v>108</v>
      </c>
      <c r="D21">
        <v>2662</v>
      </c>
    </row>
    <row r="22" spans="1:4">
      <c r="A22" s="40">
        <v>46306</v>
      </c>
      <c r="B22" s="37" t="s">
        <v>59</v>
      </c>
      <c r="C22" s="37" t="s">
        <v>134</v>
      </c>
      <c r="D22">
        <v>2096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319D-86DA-8C4A-B2FE-CAB50A1548CD}">
  <dimension ref="A1:D7"/>
  <sheetViews>
    <sheetView zoomScale="119" workbookViewId="0">
      <selection activeCell="D8" sqref="D8"/>
    </sheetView>
  </sheetViews>
  <sheetFormatPr baseColWidth="10" defaultRowHeight="15"/>
  <cols>
    <col min="3" max="3" width="14" customWidth="1"/>
  </cols>
  <sheetData>
    <row r="1" spans="1:4">
      <c r="A1" t="s">
        <v>109</v>
      </c>
      <c r="B1" t="s">
        <v>115</v>
      </c>
      <c r="C1" t="s">
        <v>122</v>
      </c>
      <c r="D1" t="s">
        <v>111</v>
      </c>
    </row>
    <row r="2" spans="1:4">
      <c r="A2" s="40">
        <v>46297</v>
      </c>
      <c r="B2" t="s">
        <v>123</v>
      </c>
      <c r="C2" t="s">
        <v>124</v>
      </c>
      <c r="D2">
        <v>4000</v>
      </c>
    </row>
    <row r="3" spans="1:4">
      <c r="A3" s="40">
        <v>46298</v>
      </c>
      <c r="B3" t="s">
        <v>123</v>
      </c>
      <c r="C3" t="s">
        <v>125</v>
      </c>
      <c r="D3">
        <v>3299</v>
      </c>
    </row>
    <row r="4" spans="1:4">
      <c r="A4" s="40">
        <v>46299</v>
      </c>
      <c r="B4" t="s">
        <v>123</v>
      </c>
      <c r="C4" t="s">
        <v>126</v>
      </c>
      <c r="D4">
        <v>1484</v>
      </c>
    </row>
    <row r="5" spans="1:4">
      <c r="A5" s="40">
        <v>46299</v>
      </c>
      <c r="B5" t="s">
        <v>123</v>
      </c>
      <c r="C5" t="s">
        <v>127</v>
      </c>
      <c r="D5">
        <v>2662</v>
      </c>
    </row>
    <row r="6" spans="1:4">
      <c r="A6" s="40">
        <v>46300</v>
      </c>
      <c r="B6" t="s">
        <v>123</v>
      </c>
      <c r="C6" t="s">
        <v>128</v>
      </c>
      <c r="D6">
        <v>2000</v>
      </c>
    </row>
    <row r="7" spans="1:4">
      <c r="A7" s="40">
        <v>46306</v>
      </c>
      <c r="B7" t="s">
        <v>123</v>
      </c>
      <c r="C7" t="s">
        <v>130</v>
      </c>
      <c r="D7">
        <v>2096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zoomScale="132" workbookViewId="0">
      <selection activeCell="B48" sqref="B48"/>
    </sheetView>
  </sheetViews>
  <sheetFormatPr baseColWidth="10" defaultColWidth="8.83203125" defaultRowHeight="15"/>
  <cols>
    <col min="1" max="1" width="35.5" customWidth="1"/>
    <col min="2" max="3" width="15.33203125" customWidth="1"/>
    <col min="4" max="4" width="14" customWidth="1"/>
    <col min="5" max="5" width="15.5" customWidth="1"/>
  </cols>
  <sheetData>
    <row r="1" spans="1:5">
      <c r="A1" s="12" t="s">
        <v>13</v>
      </c>
      <c r="B1" s="12" t="s">
        <v>14</v>
      </c>
      <c r="C1" s="12" t="s">
        <v>35</v>
      </c>
      <c r="D1" s="12" t="s">
        <v>15</v>
      </c>
      <c r="E1" s="12" t="s">
        <v>16</v>
      </c>
    </row>
    <row r="2" spans="1:5" ht="16">
      <c r="A2" s="8" t="s">
        <v>17</v>
      </c>
      <c r="B2" s="3">
        <v>85000</v>
      </c>
      <c r="C2" s="13">
        <v>0.14000000000000001</v>
      </c>
      <c r="D2" s="4"/>
      <c r="E2" s="5"/>
    </row>
    <row r="3" spans="1:5" ht="16">
      <c r="A3" s="8" t="s">
        <v>18</v>
      </c>
      <c r="B3" s="3">
        <v>64000</v>
      </c>
      <c r="C3" s="13">
        <v>0.15</v>
      </c>
      <c r="D3" s="4"/>
      <c r="E3" s="5"/>
    </row>
    <row r="4" spans="1:5" ht="16">
      <c r="A4" s="8" t="s">
        <v>19</v>
      </c>
      <c r="B4" s="3">
        <v>130000</v>
      </c>
      <c r="C4" s="13">
        <v>0.1</v>
      </c>
      <c r="D4" s="4"/>
      <c r="E4" s="5"/>
    </row>
    <row r="5" spans="1:5" ht="16">
      <c r="A5" s="8" t="s">
        <v>20</v>
      </c>
      <c r="B5" s="3">
        <v>200000</v>
      </c>
      <c r="C5" s="13">
        <v>0.05</v>
      </c>
      <c r="D5" s="4"/>
      <c r="E5" s="5"/>
    </row>
    <row r="6" spans="1:5" ht="16">
      <c r="A6" s="8" t="s">
        <v>27</v>
      </c>
      <c r="B6" s="3">
        <v>110000</v>
      </c>
      <c r="C6" s="13">
        <v>0.3</v>
      </c>
      <c r="D6" s="4"/>
      <c r="E6" s="5"/>
    </row>
    <row r="7" spans="1:5" ht="16">
      <c r="A7" s="8" t="s">
        <v>21</v>
      </c>
      <c r="B7" s="3">
        <v>600000</v>
      </c>
      <c r="C7" s="13">
        <v>0.17</v>
      </c>
      <c r="D7" s="4"/>
      <c r="E7" s="5"/>
    </row>
    <row r="8" spans="1:5" ht="16">
      <c r="A8" s="8" t="s">
        <v>22</v>
      </c>
      <c r="B8" s="3">
        <v>4500000</v>
      </c>
      <c r="C8" s="13">
        <v>0.03</v>
      </c>
      <c r="D8" s="4"/>
      <c r="E8" s="5"/>
    </row>
    <row r="9" spans="1:5" ht="16">
      <c r="A9" s="8" t="s">
        <v>23</v>
      </c>
      <c r="B9" s="3">
        <v>2400000</v>
      </c>
      <c r="C9" s="13">
        <v>0.02</v>
      </c>
      <c r="D9" s="4"/>
      <c r="E9" s="5"/>
    </row>
    <row r="10" spans="1:5" ht="16">
      <c r="A10" s="8" t="s">
        <v>24</v>
      </c>
      <c r="B10" s="3">
        <v>10000000</v>
      </c>
      <c r="C10" s="13">
        <v>0.01</v>
      </c>
      <c r="D10" s="4"/>
      <c r="E10" s="5"/>
    </row>
    <row r="11" spans="1:5" ht="16">
      <c r="A11" s="8" t="s">
        <v>25</v>
      </c>
      <c r="B11" s="3">
        <v>10000000</v>
      </c>
      <c r="C11" s="13">
        <v>0.03</v>
      </c>
      <c r="D11" s="4"/>
      <c r="E11" s="5"/>
    </row>
    <row r="12" spans="1:5" ht="16">
      <c r="A12" s="8" t="s">
        <v>129</v>
      </c>
      <c r="B12" s="3">
        <v>10000000</v>
      </c>
      <c r="C12" s="14"/>
    </row>
    <row r="13" spans="1:5" ht="16">
      <c r="A13" s="8"/>
      <c r="C13" s="14"/>
    </row>
    <row r="14" spans="1:5" ht="16">
      <c r="A14" s="8"/>
      <c r="C14" s="14"/>
    </row>
    <row r="15" spans="1:5" ht="16">
      <c r="A15" s="8"/>
      <c r="C15" s="14"/>
    </row>
    <row r="16" spans="1:5" ht="16">
      <c r="A16" s="8"/>
      <c r="C16" s="14"/>
    </row>
    <row r="17" spans="1:3" ht="16">
      <c r="A17" s="8"/>
      <c r="C17" s="14"/>
    </row>
    <row r="18" spans="1:3" ht="16">
      <c r="A18" s="8"/>
      <c r="C18" s="14"/>
    </row>
    <row r="19" spans="1:3" ht="16">
      <c r="A19" s="8"/>
      <c r="C19" s="14"/>
    </row>
    <row r="20" spans="1:3" ht="16">
      <c r="A20" s="8"/>
      <c r="C20" s="14"/>
    </row>
    <row r="21" spans="1:3" ht="16">
      <c r="A21" s="8"/>
      <c r="C21" s="14"/>
    </row>
    <row r="22" spans="1:3" ht="16">
      <c r="A22" s="8"/>
      <c r="C22" s="14"/>
    </row>
    <row r="23" spans="1:3" ht="16">
      <c r="A23" s="8"/>
      <c r="C23" s="14"/>
    </row>
    <row r="24" spans="1:3" ht="16">
      <c r="A24" s="8"/>
      <c r="C24" s="14"/>
    </row>
    <row r="25" spans="1:3" ht="16">
      <c r="A25" s="8"/>
      <c r="C25" s="14"/>
    </row>
    <row r="26" spans="1:3" ht="16">
      <c r="A26" s="8"/>
      <c r="C26" s="14"/>
    </row>
    <row r="27" spans="1:3" ht="16">
      <c r="A27" s="8"/>
      <c r="C27" s="14"/>
    </row>
    <row r="28" spans="1:3" ht="16">
      <c r="A28" s="8"/>
      <c r="C28" s="14"/>
    </row>
    <row r="29" spans="1:3" ht="16">
      <c r="A29" s="8"/>
      <c r="C29" s="14"/>
    </row>
    <row r="30" spans="1:3" ht="16">
      <c r="A30" s="8"/>
      <c r="C30" s="14"/>
    </row>
    <row r="31" spans="1:3" ht="16">
      <c r="A31" s="8"/>
      <c r="C31" s="14"/>
    </row>
    <row r="32" spans="1:3" ht="16">
      <c r="A32" s="8"/>
      <c r="C32" s="14"/>
    </row>
    <row r="33" spans="1:5" ht="16">
      <c r="A33" s="8"/>
      <c r="C33" s="14"/>
    </row>
    <row r="34" spans="1:5" ht="16">
      <c r="A34" s="8"/>
      <c r="C34" s="14"/>
    </row>
    <row r="35" spans="1:5" ht="16">
      <c r="A35" s="8"/>
      <c r="C35" s="14"/>
    </row>
    <row r="36" spans="1:5" ht="16">
      <c r="A36" s="8"/>
      <c r="C36" s="14"/>
    </row>
    <row r="37" spans="1:5" ht="16">
      <c r="A37" s="8"/>
      <c r="C37" s="14"/>
    </row>
    <row r="38" spans="1:5" ht="16">
      <c r="A38" s="8"/>
      <c r="C38" s="14"/>
    </row>
    <row r="39" spans="1:5" ht="16">
      <c r="A39" s="8"/>
      <c r="C39" s="14"/>
    </row>
    <row r="40" spans="1:5" ht="16">
      <c r="A40" s="8"/>
      <c r="C40" s="14"/>
    </row>
    <row r="41" spans="1:5" ht="16">
      <c r="A41" s="8"/>
      <c r="C41" s="14"/>
    </row>
    <row r="42" spans="1:5" ht="16">
      <c r="A42" s="8"/>
      <c r="C42" s="14"/>
    </row>
    <row r="43" spans="1:5" ht="16">
      <c r="A43" s="8"/>
      <c r="C43" s="14"/>
    </row>
    <row r="44" spans="1:5" ht="16">
      <c r="A44" s="8"/>
      <c r="C44" s="14"/>
    </row>
    <row r="45" spans="1:5" ht="16">
      <c r="A45" s="8"/>
      <c r="C45" s="14"/>
    </row>
    <row r="46" spans="1:5" ht="16">
      <c r="A46" s="8"/>
      <c r="C46" s="14"/>
    </row>
    <row r="47" spans="1:5" ht="16">
      <c r="A47" s="8"/>
      <c r="C47" s="14"/>
    </row>
    <row r="48" spans="1:5" ht="16">
      <c r="A48" s="2" t="s">
        <v>26</v>
      </c>
      <c r="B48" s="6">
        <f>SUM(B2:B47)</f>
        <v>38089000</v>
      </c>
      <c r="C48" s="15">
        <f>SUM(C2:C47)</f>
        <v>1</v>
      </c>
      <c r="D48" s="6">
        <f>SUM(D2:D47)</f>
        <v>0</v>
      </c>
      <c r="E48" s="7">
        <f>SUM(E2:E47)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="156" workbookViewId="0">
      <selection activeCell="C2" sqref="C2:C8"/>
    </sheetView>
  </sheetViews>
  <sheetFormatPr baseColWidth="10" defaultColWidth="8.83203125" defaultRowHeight="15"/>
  <cols>
    <col min="1" max="1" width="17" customWidth="1"/>
    <col min="2" max="2" width="10" customWidth="1"/>
    <col min="3" max="3" width="16" customWidth="1"/>
    <col min="4" max="4" width="14" customWidth="1"/>
  </cols>
  <sheetData>
    <row r="1" spans="1:4">
      <c r="A1" s="12" t="s">
        <v>2</v>
      </c>
      <c r="B1" s="12" t="s">
        <v>5</v>
      </c>
      <c r="C1" s="12" t="s">
        <v>6</v>
      </c>
      <c r="D1" s="12" t="s">
        <v>7</v>
      </c>
    </row>
    <row r="2" spans="1:4">
      <c r="A2" s="11" t="s">
        <v>8</v>
      </c>
      <c r="B2">
        <v>0.5</v>
      </c>
      <c r="C2" s="4"/>
      <c r="D2" s="4"/>
    </row>
    <row r="3" spans="1:4">
      <c r="A3" s="11" t="s">
        <v>9</v>
      </c>
      <c r="B3">
        <v>0.1</v>
      </c>
      <c r="C3" s="4"/>
      <c r="D3" s="4"/>
    </row>
    <row r="4" spans="1:4">
      <c r="A4" s="11" t="s">
        <v>10</v>
      </c>
      <c r="B4">
        <v>0.13</v>
      </c>
      <c r="C4" s="4"/>
      <c r="D4" s="4"/>
    </row>
    <row r="5" spans="1:4">
      <c r="A5" s="11" t="s">
        <v>11</v>
      </c>
      <c r="B5">
        <v>0.15</v>
      </c>
      <c r="C5" s="4"/>
      <c r="D5" s="4"/>
    </row>
    <row r="6" spans="1:4">
      <c r="A6" s="11" t="s">
        <v>12</v>
      </c>
      <c r="B6">
        <v>7.0000000000000007E-2</v>
      </c>
      <c r="C6" s="4"/>
      <c r="D6" s="4"/>
    </row>
    <row r="7" spans="1:4">
      <c r="A7" s="11" t="s">
        <v>34</v>
      </c>
      <c r="B7">
        <v>0.05</v>
      </c>
      <c r="C7" s="4"/>
      <c r="D7" s="4">
        <v>400</v>
      </c>
    </row>
    <row r="8" spans="1:4" ht="16">
      <c r="A8" s="10" t="s">
        <v>26</v>
      </c>
      <c r="B8" s="10">
        <f>SUM(B2:B7)</f>
        <v>1</v>
      </c>
      <c r="C8" s="7"/>
      <c r="D8" s="7">
        <f>SUM(D2:D7)</f>
        <v>400</v>
      </c>
    </row>
    <row r="9" spans="1:4">
      <c r="C9" s="4"/>
      <c r="D9" s="4"/>
    </row>
    <row r="10" spans="1:4">
      <c r="C10" s="4"/>
      <c r="D10" s="4"/>
    </row>
    <row r="11" spans="1:4">
      <c r="C11" s="4"/>
      <c r="D11" s="4"/>
    </row>
    <row r="12" spans="1:4">
      <c r="C12" s="4"/>
      <c r="D12" s="4"/>
    </row>
    <row r="13" spans="1:4">
      <c r="C13" s="4"/>
      <c r="D13" s="4"/>
    </row>
    <row r="14" spans="1:4">
      <c r="C14" s="4"/>
      <c r="D14" s="4"/>
    </row>
    <row r="15" spans="1:4">
      <c r="C15" s="4"/>
      <c r="D15" s="4"/>
    </row>
    <row r="16" spans="1:4">
      <c r="C16" s="4"/>
      <c r="D16" s="4"/>
    </row>
    <row r="17" spans="3:4">
      <c r="C17" s="4"/>
      <c r="D17" s="4"/>
    </row>
    <row r="18" spans="3:4">
      <c r="C18" s="4"/>
      <c r="D18" s="4"/>
    </row>
    <row r="19" spans="3:4">
      <c r="C19" s="4"/>
      <c r="D19" s="4"/>
    </row>
    <row r="20" spans="3:4">
      <c r="C20" s="4"/>
      <c r="D20" s="4"/>
    </row>
    <row r="21" spans="3:4">
      <c r="C21" s="4"/>
      <c r="D21" s="4"/>
    </row>
    <row r="22" spans="3:4">
      <c r="C22" s="4"/>
      <c r="D22" s="4"/>
    </row>
    <row r="23" spans="3:4">
      <c r="C23" s="4"/>
      <c r="D23" s="4"/>
    </row>
    <row r="24" spans="3:4">
      <c r="C24" s="4"/>
      <c r="D24" s="4"/>
    </row>
    <row r="25" spans="3:4">
      <c r="C25" s="4"/>
      <c r="D25" s="4"/>
    </row>
    <row r="26" spans="3:4">
      <c r="C26" s="4"/>
      <c r="D26" s="4"/>
    </row>
    <row r="27" spans="3:4">
      <c r="C27" s="4"/>
      <c r="D27" s="4"/>
    </row>
    <row r="28" spans="3:4">
      <c r="C28" s="4"/>
      <c r="D28" s="4"/>
    </row>
    <row r="29" spans="3:4">
      <c r="C29" s="4"/>
      <c r="D29" s="4"/>
    </row>
    <row r="30" spans="3:4">
      <c r="C30" s="4"/>
      <c r="D30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9AEB-CF1F-C147-BB5C-CC424352D385}">
  <dimension ref="A1:K26"/>
  <sheetViews>
    <sheetView zoomScale="200" workbookViewId="0">
      <selection activeCell="J25" sqref="J25"/>
    </sheetView>
  </sheetViews>
  <sheetFormatPr baseColWidth="10" defaultRowHeight="15"/>
  <sheetData>
    <row r="1" spans="1:8">
      <c r="A1" t="s">
        <v>64</v>
      </c>
      <c r="B1" t="s">
        <v>65</v>
      </c>
      <c r="D1" t="s">
        <v>84</v>
      </c>
      <c r="E1" t="s">
        <v>85</v>
      </c>
      <c r="G1" t="s">
        <v>86</v>
      </c>
      <c r="H1" t="s">
        <v>85</v>
      </c>
    </row>
    <row r="2" spans="1:8">
      <c r="A2" t="s">
        <v>66</v>
      </c>
      <c r="B2">
        <v>2066</v>
      </c>
      <c r="D2" t="s">
        <v>87</v>
      </c>
      <c r="E2">
        <v>399</v>
      </c>
      <c r="G2" s="42" t="s">
        <v>70</v>
      </c>
      <c r="H2" s="42">
        <v>500</v>
      </c>
    </row>
    <row r="3" spans="1:8">
      <c r="A3" t="s">
        <v>67</v>
      </c>
      <c r="B3">
        <v>400</v>
      </c>
      <c r="D3" t="s">
        <v>87</v>
      </c>
      <c r="E3">
        <v>49</v>
      </c>
      <c r="G3" s="42" t="s">
        <v>71</v>
      </c>
      <c r="H3" s="42">
        <v>100</v>
      </c>
    </row>
    <row r="4" spans="1:8">
      <c r="A4" t="s">
        <v>68</v>
      </c>
      <c r="B4">
        <v>500</v>
      </c>
      <c r="D4" t="s">
        <v>88</v>
      </c>
      <c r="E4">
        <v>500</v>
      </c>
      <c r="G4" s="42" t="s">
        <v>72</v>
      </c>
      <c r="H4" s="42">
        <v>75</v>
      </c>
    </row>
    <row r="5" spans="1:8">
      <c r="A5" t="s">
        <v>69</v>
      </c>
      <c r="B5">
        <v>150</v>
      </c>
      <c r="D5" t="s">
        <v>89</v>
      </c>
      <c r="E5">
        <v>600</v>
      </c>
      <c r="G5" s="42" t="s">
        <v>73</v>
      </c>
      <c r="H5" s="42">
        <v>80</v>
      </c>
    </row>
    <row r="6" spans="1:8">
      <c r="A6" t="s">
        <v>77</v>
      </c>
      <c r="B6">
        <v>1400</v>
      </c>
      <c r="D6" t="s">
        <v>91</v>
      </c>
      <c r="E6">
        <v>40</v>
      </c>
      <c r="G6" s="42" t="s">
        <v>74</v>
      </c>
      <c r="H6" s="42">
        <v>10</v>
      </c>
    </row>
    <row r="7" spans="1:8">
      <c r="A7" t="s">
        <v>78</v>
      </c>
      <c r="B7">
        <v>1454</v>
      </c>
      <c r="D7" t="s">
        <v>92</v>
      </c>
      <c r="E7">
        <v>100</v>
      </c>
      <c r="G7" s="42" t="s">
        <v>75</v>
      </c>
      <c r="H7" s="42">
        <v>60</v>
      </c>
    </row>
    <row r="8" spans="1:8">
      <c r="A8" t="s">
        <v>79</v>
      </c>
      <c r="B8">
        <v>30</v>
      </c>
      <c r="G8" s="42" t="s">
        <v>76</v>
      </c>
      <c r="H8" s="42">
        <v>10</v>
      </c>
    </row>
    <row r="9" spans="1:8">
      <c r="A9" t="s">
        <v>80</v>
      </c>
      <c r="B9">
        <v>180</v>
      </c>
      <c r="G9" s="42" t="s">
        <v>83</v>
      </c>
      <c r="H9">
        <f>50</f>
        <v>50</v>
      </c>
    </row>
    <row r="10" spans="1:8">
      <c r="A10" t="s">
        <v>81</v>
      </c>
      <c r="B10">
        <v>440</v>
      </c>
      <c r="G10" s="42" t="s">
        <v>90</v>
      </c>
      <c r="H10" s="42">
        <v>100</v>
      </c>
    </row>
    <row r="11" spans="1:8">
      <c r="A11" t="s">
        <v>82</v>
      </c>
      <c r="B11">
        <v>30</v>
      </c>
      <c r="G11" s="42" t="s">
        <v>94</v>
      </c>
      <c r="H11" s="42">
        <v>300</v>
      </c>
    </row>
    <row r="12" spans="1:8">
      <c r="A12" t="s">
        <v>93</v>
      </c>
      <c r="B12">
        <f>SUM(B2:B11)</f>
        <v>6650</v>
      </c>
      <c r="E12">
        <f>SUM(E2:E11)</f>
        <v>1688</v>
      </c>
      <c r="H12">
        <f>SUM(H2:H11)</f>
        <v>1285</v>
      </c>
    </row>
    <row r="14" spans="1:8">
      <c r="A14" t="s">
        <v>95</v>
      </c>
      <c r="B14">
        <f>B12+E12</f>
        <v>8338</v>
      </c>
    </row>
    <row r="16" spans="1:8">
      <c r="A16" t="s">
        <v>96</v>
      </c>
      <c r="B16">
        <f>B12+E12+H12</f>
        <v>9623</v>
      </c>
      <c r="C16">
        <f>B6+B7+B10+E2+E4</f>
        <v>4193</v>
      </c>
      <c r="D16">
        <f>B16-C16</f>
        <v>5430</v>
      </c>
    </row>
    <row r="17" spans="1:11" ht="16">
      <c r="A17" t="s">
        <v>99</v>
      </c>
      <c r="B17">
        <f>B10+B11+B8+B9+B7+B4+B5+E4+E6+E7</f>
        <v>3424</v>
      </c>
      <c r="J17" s="43">
        <v>7000</v>
      </c>
    </row>
    <row r="18" spans="1:11" ht="16">
      <c r="J18" s="43">
        <v>8944</v>
      </c>
      <c r="K18">
        <v>11718</v>
      </c>
    </row>
    <row r="19" spans="1:11" ht="16">
      <c r="J19" s="43">
        <v>10000</v>
      </c>
      <c r="K19">
        <v>32512</v>
      </c>
    </row>
    <row r="20" spans="1:11" ht="16">
      <c r="J20" s="43">
        <v>7000</v>
      </c>
      <c r="K20">
        <v>7700</v>
      </c>
    </row>
    <row r="21" spans="1:11" ht="16">
      <c r="J21" s="43">
        <v>6000</v>
      </c>
    </row>
    <row r="22" spans="1:11" ht="16">
      <c r="J22" s="43">
        <v>5000</v>
      </c>
    </row>
    <row r="23" spans="1:11" ht="16">
      <c r="J23" s="10">
        <v>1000</v>
      </c>
    </row>
    <row r="24" spans="1:11">
      <c r="J24">
        <v>0</v>
      </c>
    </row>
    <row r="25" spans="1:11" ht="16">
      <c r="J25" s="43">
        <v>5000</v>
      </c>
    </row>
    <row r="26" spans="1:11">
      <c r="J26">
        <f>SUM(J17:J25)</f>
        <v>49944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Tracker</vt:lpstr>
      <vt:lpstr>Returns</vt:lpstr>
      <vt:lpstr>Income</vt:lpstr>
      <vt:lpstr>Expense Log</vt:lpstr>
      <vt:lpstr>Borrow</vt:lpstr>
      <vt:lpstr>Goals Tracker</vt:lpstr>
      <vt:lpstr>March Summary</vt:lpstr>
      <vt:lpstr>travel sikkim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2026-03-02T05:25:25Z</dcterms:created>
  <dcterms:modified xsi:type="dcterms:W3CDTF">2026-10-11T07:34:42Z</dcterms:modified>
</cp:coreProperties>
</file>